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stimativa" sheetId="2" state="visible" r:id="rId2"/>
    <sheet xmlns:r="http://schemas.openxmlformats.org/officeDocument/2006/relationships" name="Cronograma" sheetId="3" state="visible" r:id="rId3"/>
  </sheets>
  <definedNames>
    <definedName name="_xlnm._FilterDatabase" localSheetId="1" hidden="1">'Estimativa'!$A$3:$F$11</definedName>
    <definedName name="_xlnm._FilterDatabase" localSheetId="2" hidden="1">'Cronograma'!$A$3:$L$11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b val="1"/>
      <color rgb="00FFFFFF"/>
      <sz val="10"/>
    </font>
    <font>
      <b val="1"/>
      <color rgb="00263746"/>
    </font>
    <font>
      <b val="1"/>
      <color rgb="00007F86"/>
      <sz val="12"/>
    </font>
    <font>
      <b val="1"/>
      <color rgb="00007F86"/>
      <sz val="13"/>
    </font>
    <font>
      <name val="Aptos"/>
      <color rgb="00263746"/>
      <sz val="10"/>
    </font>
  </fonts>
  <fills count="7">
    <fill>
      <patternFill/>
    </fill>
    <fill>
      <patternFill patternType="gray125"/>
    </fill>
    <fill>
      <patternFill patternType="solid">
        <fgColor rgb="0018324B"/>
      </patternFill>
    </fill>
    <fill>
      <patternFill patternType="solid">
        <fgColor rgb="00007F86"/>
      </patternFill>
    </fill>
    <fill>
      <patternFill patternType="solid">
        <fgColor rgb="00EAF2F4"/>
      </patternFill>
    </fill>
    <fill>
      <patternFill patternType="solid">
        <fgColor rgb="00F3F5F7"/>
      </patternFill>
    </fill>
    <fill>
      <patternFill patternType="solid">
        <fgColor rgb="00BF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6" fillId="4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8" customWidth="1" min="4" max="4"/>
  </cols>
  <sheetData>
    <row r="1" ht="34" customHeight="1">
      <c r="A1" s="1" t="inlineStr">
        <is>
          <t>Staander | Release 0</t>
        </is>
      </c>
    </row>
    <row r="3" ht="30" customHeight="1">
      <c r="A3" s="2" t="inlineStr">
        <is>
          <t>Indicador</t>
        </is>
      </c>
      <c r="B3" s="2" t="inlineStr">
        <is>
          <t>Estimativa</t>
        </is>
      </c>
    </row>
    <row r="4">
      <c r="A4" t="inlineStr">
        <is>
          <t>Requisitos essenciais</t>
        </is>
      </c>
      <c r="B4" t="n">
        <v>24</v>
      </c>
    </row>
    <row r="5">
      <c r="A5" t="inlineStr">
        <is>
          <t>Esforço total (horas)</t>
        </is>
      </c>
      <c r="B5">
        <f>SUM(Estimativa!B4:B11)</f>
        <v/>
      </c>
    </row>
    <row r="6">
      <c r="A6" t="inlineStr">
        <is>
          <t>Duração planejada</t>
        </is>
      </c>
      <c r="B6" t="inlineStr">
        <is>
          <t>6 semanas</t>
        </is>
      </c>
    </row>
    <row r="7">
      <c r="A7" t="inlineStr">
        <is>
          <t>Início previsto</t>
        </is>
      </c>
      <c r="B7" s="15" t="n">
        <v>46321</v>
      </c>
    </row>
    <row r="8">
      <c r="A8" t="inlineStr">
        <is>
          <t>Término previsto</t>
        </is>
      </c>
      <c r="B8" s="15" t="n">
        <v>46360</v>
      </c>
    </row>
    <row r="9">
      <c r="A9" t="inlineStr">
        <is>
          <t>Custo de referência por hora (R$)</t>
        </is>
      </c>
      <c r="B9" s="16" t="n">
        <v>50</v>
      </c>
    </row>
    <row r="10">
      <c r="A10" t="inlineStr">
        <is>
          <t>Reserva de contingência</t>
        </is>
      </c>
      <c r="B10" s="5" t="n">
        <v>0.15</v>
      </c>
    </row>
    <row r="12" ht="30" customHeight="1">
      <c r="A12" s="2" t="inlineStr">
        <is>
          <t>Orçamento de referência</t>
        </is>
      </c>
      <c r="B12" s="2" t="inlineStr">
        <is>
          <t>Valor (R$)</t>
        </is>
      </c>
    </row>
    <row r="13">
      <c r="A13" s="6" t="inlineStr">
        <is>
          <t>Custo-base</t>
        </is>
      </c>
      <c r="B13" s="16">
        <f>B5*B9</f>
        <v/>
      </c>
    </row>
    <row r="14">
      <c r="A14" s="7" t="inlineStr">
        <is>
          <t>Contingência</t>
        </is>
      </c>
      <c r="B14" s="16">
        <f>B13*B10</f>
        <v/>
      </c>
    </row>
    <row r="15">
      <c r="A15" s="6" t="inlineStr">
        <is>
          <t>Total com contingência</t>
        </is>
      </c>
      <c r="B15" s="16">
        <f>B13+B14</f>
        <v/>
      </c>
    </row>
    <row r="17">
      <c r="A17" s="8" t="inlineStr">
        <is>
          <t>Premissas</t>
        </is>
      </c>
    </row>
    <row r="18">
      <c r="A18" s="9" t="inlineStr">
        <is>
          <t>Base: Release 0 do Staander, escopo de até 24 requisitos essenciais. Estimativa preliminar por decomposição do MVP, com incerteza de ±30%. Equipe e custo/hora são hipóteses acadêmicas, não cotações. Prazo de seis semanas a partir de 26/10/2026; datas para planejamento, sujeitas à disponibilidade do grupo.</t>
        </is>
      </c>
    </row>
    <row r="19"/>
    <row r="20"/>
  </sheetData>
  <mergeCells count="2">
    <mergeCell ref="A1:D1"/>
    <mergeCell ref="A18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2" customWidth="1" min="5" max="5"/>
    <col width="50" customWidth="1" min="6" max="6"/>
  </cols>
  <sheetData>
    <row r="1" ht="34" customHeight="1">
      <c r="A1" s="1" t="inlineStr">
        <is>
          <t>Estimativa de esforço e custo</t>
        </is>
      </c>
    </row>
    <row r="3" ht="30" customHeight="1">
      <c r="A3" s="2" t="inlineStr">
        <is>
          <t>Fase / pacote de trabalho</t>
        </is>
      </c>
      <c r="B3" s="2" t="inlineStr">
        <is>
          <t>Esforço (h)</t>
        </is>
      </c>
      <c r="C3" s="2" t="inlineStr">
        <is>
          <t>Início</t>
        </is>
      </c>
      <c r="D3" s="2" t="inlineStr">
        <is>
          <t>Fim</t>
        </is>
      </c>
      <c r="E3" s="2" t="inlineStr">
        <is>
          <t>Semana(s)</t>
        </is>
      </c>
      <c r="F3" s="2" t="inlineStr">
        <is>
          <t>Escopo considerado</t>
        </is>
      </c>
    </row>
    <row r="4" ht="32" customHeight="1">
      <c r="A4" s="10" t="inlineStr">
        <is>
          <t>Descoberta e refinamento</t>
        </is>
      </c>
      <c r="B4" s="10" t="n">
        <v>24</v>
      </c>
      <c r="C4" s="17" t="n">
        <v>46321</v>
      </c>
      <c r="D4" s="17" t="n">
        <v>46323</v>
      </c>
      <c r="E4" s="10" t="inlineStr">
        <is>
          <t>1</t>
        </is>
      </c>
      <c r="F4" s="10" t="inlineStr">
        <is>
          <t>Escopo, histórias e critérios de aceite</t>
        </is>
      </c>
    </row>
    <row r="5" ht="32" customHeight="1">
      <c r="A5" s="10" t="inlineStr">
        <is>
          <t>UX/UI e protótipo</t>
        </is>
      </c>
      <c r="B5" s="10" t="n">
        <v>24</v>
      </c>
      <c r="C5" s="17" t="n">
        <v>46321</v>
      </c>
      <c r="D5" s="17" t="n">
        <v>46324</v>
      </c>
      <c r="E5" s="10" t="inlineStr">
        <is>
          <t>1</t>
        </is>
      </c>
      <c r="F5" s="10" t="inlineStr">
        <is>
          <t>Fluxos de conta, biblioteca e leitura</t>
        </is>
      </c>
    </row>
    <row r="6" ht="32" customHeight="1">
      <c r="A6" s="10" t="inlineStr">
        <is>
          <t>Arquitetura e configuração</t>
        </is>
      </c>
      <c r="B6" s="10" t="n">
        <v>20</v>
      </c>
      <c r="C6" s="17" t="n">
        <v>46324</v>
      </c>
      <c r="D6" s="17" t="n">
        <v>46328</v>
      </c>
      <c r="E6" s="10" t="inlineStr">
        <is>
          <t>1–2</t>
        </is>
      </c>
      <c r="F6" s="10" t="inlineStr">
        <is>
          <t>Base web, dados e ambiente</t>
        </is>
      </c>
    </row>
    <row r="7" ht="32" customHeight="1">
      <c r="A7" s="10" t="inlineStr">
        <is>
          <t>Contas e segurança</t>
        </is>
      </c>
      <c r="B7" s="10" t="n">
        <v>32</v>
      </c>
      <c r="C7" s="17" t="n">
        <v>46329</v>
      </c>
      <c r="D7" s="17" t="n">
        <v>46332</v>
      </c>
      <c r="E7" s="10" t="inlineStr">
        <is>
          <t>2</t>
        </is>
      </c>
      <c r="F7" s="10" t="inlineStr">
        <is>
          <t>Cadastro, autenticação e recuperação</t>
        </is>
      </c>
    </row>
    <row r="8" ht="32" customHeight="1">
      <c r="A8" s="10" t="inlineStr">
        <is>
          <t>Biblioteca, importação e coleções</t>
        </is>
      </c>
      <c r="B8" s="10" t="n">
        <v>52</v>
      </c>
      <c r="C8" s="17" t="n">
        <v>46335</v>
      </c>
      <c r="D8" s="17" t="n">
        <v>46343</v>
      </c>
      <c r="E8" s="10" t="inlineStr">
        <is>
          <t>3–4</t>
        </is>
      </c>
      <c r="F8" s="10" t="inlineStr">
        <is>
          <t>EPUB/PDF, metadados, busca e organização</t>
        </is>
      </c>
    </row>
    <row r="9" ht="32" customHeight="1">
      <c r="A9" s="10" t="inlineStr">
        <is>
          <t>Leitor e progresso</t>
        </is>
      </c>
      <c r="B9" s="10" t="n">
        <v>36</v>
      </c>
      <c r="C9" s="17" t="n">
        <v>46344</v>
      </c>
      <c r="D9" s="17" t="n">
        <v>46350</v>
      </c>
      <c r="E9" s="10" t="inlineStr">
        <is>
          <t>4–5</t>
        </is>
      </c>
      <c r="F9" s="10" t="inlineStr">
        <is>
          <t>Leitura e retomada da posição</t>
        </is>
      </c>
    </row>
    <row r="10" ht="32" customHeight="1">
      <c r="A10" s="10" t="inlineStr">
        <is>
          <t>Integração, QA e aceite</t>
        </is>
      </c>
      <c r="B10" s="10" t="n">
        <v>28</v>
      </c>
      <c r="C10" s="17" t="n">
        <v>46351</v>
      </c>
      <c r="D10" s="17" t="n">
        <v>46356</v>
      </c>
      <c r="E10" s="10" t="inlineStr">
        <is>
          <t>5–6</t>
        </is>
      </c>
      <c r="F10" s="10" t="inlineStr">
        <is>
          <t>Validação do fluxo essencial</t>
        </is>
      </c>
    </row>
    <row r="11" ht="32" customHeight="1">
      <c r="A11" s="10" t="inlineStr">
        <is>
          <t>Implantação e documentação</t>
        </is>
      </c>
      <c r="B11" s="10" t="n">
        <v>24</v>
      </c>
      <c r="C11" s="17" t="n">
        <v>46357</v>
      </c>
      <c r="D11" s="17" t="n">
        <v>46359</v>
      </c>
      <c r="E11" s="10" t="inlineStr">
        <is>
          <t>6</t>
        </is>
      </c>
      <c r="F11" s="10" t="inlineStr">
        <is>
          <t>Publicação e instruções de uso</t>
        </is>
      </c>
    </row>
    <row r="12">
      <c r="A12" s="7" t="inlineStr">
        <is>
          <t>Total estimado</t>
        </is>
      </c>
      <c r="B12" s="7">
        <f>SUM(B4:B11)</f>
        <v/>
      </c>
      <c r="C12" s="7" t="n"/>
      <c r="D12" s="7" t="n"/>
      <c r="E12" s="7" t="n"/>
      <c r="F12" s="7" t="inlineStr">
        <is>
          <t>240 h; incerteza de ±30%</t>
        </is>
      </c>
    </row>
    <row r="14" ht="30" customHeight="1">
      <c r="A14" s="2" t="inlineStr">
        <is>
          <t>Premissa financeira</t>
        </is>
      </c>
      <c r="B14" s="2" t="inlineStr">
        <is>
          <t>Valor</t>
        </is>
      </c>
    </row>
    <row r="15">
      <c r="A15" t="inlineStr">
        <is>
          <t>Custo de referência por hora (R$)</t>
        </is>
      </c>
      <c r="B15" s="16" t="n">
        <v>50</v>
      </c>
    </row>
    <row r="16">
      <c r="A16" t="inlineStr">
        <is>
          <t>Reserva de contingência</t>
        </is>
      </c>
      <c r="B16" s="5" t="n">
        <v>0.15</v>
      </c>
    </row>
  </sheetData>
  <autoFilter ref="A3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zoomScale="9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2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4" customWidth="1" min="12" max="12"/>
  </cols>
  <sheetData>
    <row r="1" ht="34" customHeight="1">
      <c r="A1" s="1" t="inlineStr">
        <is>
          <t>Cronograma | Release 0 | 6 semanas</t>
        </is>
      </c>
    </row>
    <row r="3" ht="30" customHeight="1">
      <c r="A3" s="2" t="inlineStr">
        <is>
          <t>Atividade</t>
        </is>
      </c>
      <c r="B3" s="2" t="inlineStr">
        <is>
          <t>Esforço (h)</t>
        </is>
      </c>
      <c r="C3" s="2" t="inlineStr">
        <is>
          <t>Início</t>
        </is>
      </c>
      <c r="D3" s="2" t="inlineStr">
        <is>
          <t>Término</t>
        </is>
      </c>
      <c r="E3" s="2" t="inlineStr">
        <is>
          <t>Predecessora</t>
        </is>
      </c>
      <c r="F3" s="2" t="inlineStr">
        <is>
          <t>S1</t>
        </is>
      </c>
      <c r="G3" s="2" t="inlineStr">
        <is>
          <t>S2</t>
        </is>
      </c>
      <c r="H3" s="2" t="inlineStr">
        <is>
          <t>S3</t>
        </is>
      </c>
      <c r="I3" s="2" t="inlineStr">
        <is>
          <t>S4</t>
        </is>
      </c>
      <c r="J3" s="2" t="inlineStr">
        <is>
          <t>S5</t>
        </is>
      </c>
      <c r="K3" s="2" t="inlineStr">
        <is>
          <t>S6</t>
        </is>
      </c>
      <c r="L3" s="2" t="inlineStr">
        <is>
          <t>Critério de saída</t>
        </is>
      </c>
    </row>
    <row r="4" ht="32" customHeight="1">
      <c r="A4" s="10" t="inlineStr">
        <is>
          <t>Descoberta e refinamento</t>
        </is>
      </c>
      <c r="B4" s="12" t="n">
        <v>24</v>
      </c>
      <c r="C4" s="18" t="n">
        <v>46321</v>
      </c>
      <c r="D4" s="18" t="n">
        <v>46323</v>
      </c>
      <c r="E4" s="10" t="inlineStr">
        <is>
          <t>—</t>
        </is>
      </c>
      <c r="F4" s="14" t="inlineStr">
        <is>
          <t>●</t>
        </is>
      </c>
      <c r="G4" s="12" t="inlineStr"/>
      <c r="H4" s="12" t="inlineStr"/>
      <c r="I4" s="12" t="inlineStr"/>
      <c r="J4" s="12" t="inlineStr"/>
      <c r="K4" s="12" t="inlineStr"/>
      <c r="L4" s="10" t="inlineStr">
        <is>
          <t>Escopo e aceite definidos</t>
        </is>
      </c>
    </row>
    <row r="5" ht="32" customHeight="1">
      <c r="A5" s="10" t="inlineStr">
        <is>
          <t>UX/UI e protótipo</t>
        </is>
      </c>
      <c r="B5" s="12" t="n">
        <v>24</v>
      </c>
      <c r="C5" s="18" t="n">
        <v>46321</v>
      </c>
      <c r="D5" s="18" t="n">
        <v>46324</v>
      </c>
      <c r="E5" s="10" t="inlineStr">
        <is>
          <t>—</t>
        </is>
      </c>
      <c r="F5" s="14" t="inlineStr">
        <is>
          <t>●</t>
        </is>
      </c>
      <c r="G5" s="12" t="inlineStr"/>
      <c r="H5" s="12" t="inlineStr"/>
      <c r="I5" s="12" t="inlineStr"/>
      <c r="J5" s="12" t="inlineStr"/>
      <c r="K5" s="12" t="inlineStr"/>
      <c r="L5" s="10" t="inlineStr">
        <is>
          <t>Fluxos principais aprovados</t>
        </is>
      </c>
    </row>
    <row r="6" ht="32" customHeight="1">
      <c r="A6" s="10" t="inlineStr">
        <is>
          <t>Arquitetura e configuração</t>
        </is>
      </c>
      <c r="B6" s="12" t="n">
        <v>20</v>
      </c>
      <c r="C6" s="18" t="n">
        <v>46324</v>
      </c>
      <c r="D6" s="18" t="n">
        <v>46328</v>
      </c>
      <c r="E6" s="10" t="inlineStr">
        <is>
          <t>Descoberta</t>
        </is>
      </c>
      <c r="F6" s="14" t="inlineStr">
        <is>
          <t>●</t>
        </is>
      </c>
      <c r="G6" s="14" t="inlineStr">
        <is>
          <t>●</t>
        </is>
      </c>
      <c r="H6" s="12" t="inlineStr"/>
      <c r="I6" s="12" t="inlineStr"/>
      <c r="J6" s="12" t="inlineStr"/>
      <c r="K6" s="12" t="inlineStr"/>
      <c r="L6" s="10" t="inlineStr">
        <is>
          <t>Ambiente web preparado</t>
        </is>
      </c>
    </row>
    <row r="7" ht="32" customHeight="1">
      <c r="A7" s="10" t="inlineStr">
        <is>
          <t>Contas e segurança</t>
        </is>
      </c>
      <c r="B7" s="12" t="n">
        <v>32</v>
      </c>
      <c r="C7" s="18" t="n">
        <v>46329</v>
      </c>
      <c r="D7" s="18" t="n">
        <v>46332</v>
      </c>
      <c r="E7" s="10" t="inlineStr">
        <is>
          <t>Arquitetura</t>
        </is>
      </c>
      <c r="F7" s="12" t="inlineStr"/>
      <c r="G7" s="14" t="inlineStr">
        <is>
          <t>●</t>
        </is>
      </c>
      <c r="H7" s="12" t="inlineStr"/>
      <c r="I7" s="12" t="inlineStr"/>
      <c r="J7" s="12" t="inlineStr"/>
      <c r="K7" s="12" t="inlineStr"/>
      <c r="L7" s="10" t="inlineStr">
        <is>
          <t>Cadastro, login e recuperação</t>
        </is>
      </c>
    </row>
    <row r="8" ht="32" customHeight="1">
      <c r="A8" s="10" t="inlineStr">
        <is>
          <t>Biblioteca, importação e coleções</t>
        </is>
      </c>
      <c r="B8" s="12" t="n">
        <v>52</v>
      </c>
      <c r="C8" s="18" t="n">
        <v>46335</v>
      </c>
      <c r="D8" s="18" t="n">
        <v>46343</v>
      </c>
      <c r="E8" s="10" t="inlineStr">
        <is>
          <t>Contas e segurança</t>
        </is>
      </c>
      <c r="F8" s="12" t="inlineStr"/>
      <c r="G8" s="12" t="inlineStr"/>
      <c r="H8" s="14" t="inlineStr">
        <is>
          <t>●</t>
        </is>
      </c>
      <c r="I8" s="14" t="inlineStr">
        <is>
          <t>●</t>
        </is>
      </c>
      <c r="J8" s="12" t="inlineStr"/>
      <c r="K8" s="12" t="inlineStr"/>
      <c r="L8" s="10" t="inlineStr">
        <is>
          <t>EPUB/PDF e catálogo validados</t>
        </is>
      </c>
    </row>
    <row r="9" ht="32" customHeight="1">
      <c r="A9" s="10" t="inlineStr">
        <is>
          <t>Leitor e progresso</t>
        </is>
      </c>
      <c r="B9" s="12" t="n">
        <v>36</v>
      </c>
      <c r="C9" s="18" t="n">
        <v>46344</v>
      </c>
      <c r="D9" s="18" t="n">
        <v>46350</v>
      </c>
      <c r="E9" s="10" t="inlineStr">
        <is>
          <t>Biblioteca</t>
        </is>
      </c>
      <c r="F9" s="12" t="inlineStr"/>
      <c r="G9" s="12" t="inlineStr"/>
      <c r="H9" s="12" t="inlineStr"/>
      <c r="I9" s="14" t="inlineStr">
        <is>
          <t>●</t>
        </is>
      </c>
      <c r="J9" s="14" t="inlineStr">
        <is>
          <t>●</t>
        </is>
      </c>
      <c r="K9" s="12" t="inlineStr"/>
      <c r="L9" s="10" t="inlineStr">
        <is>
          <t>Abrir e retomar leitura</t>
        </is>
      </c>
    </row>
    <row r="10" ht="32" customHeight="1">
      <c r="A10" s="10" t="inlineStr">
        <is>
          <t>Integração, QA e aceite</t>
        </is>
      </c>
      <c r="B10" s="12" t="n">
        <v>28</v>
      </c>
      <c r="C10" s="18" t="n">
        <v>46351</v>
      </c>
      <c r="D10" s="18" t="n">
        <v>46356</v>
      </c>
      <c r="E10" s="10" t="inlineStr">
        <is>
          <t>Leitor e progresso</t>
        </is>
      </c>
      <c r="F10" s="12" t="inlineStr"/>
      <c r="G10" s="12" t="inlineStr"/>
      <c r="H10" s="12" t="inlineStr"/>
      <c r="I10" s="12" t="inlineStr"/>
      <c r="J10" s="14" t="inlineStr">
        <is>
          <t>●</t>
        </is>
      </c>
      <c r="K10" s="14" t="inlineStr">
        <is>
          <t>●</t>
        </is>
      </c>
      <c r="L10" s="10" t="inlineStr">
        <is>
          <t>24 requisitos essenciais aprovados</t>
        </is>
      </c>
    </row>
    <row r="11" ht="32" customHeight="1">
      <c r="A11" s="10" t="inlineStr">
        <is>
          <t>Implantação e documentação</t>
        </is>
      </c>
      <c r="B11" s="12" t="n">
        <v>24</v>
      </c>
      <c r="C11" s="18" t="n">
        <v>46357</v>
      </c>
      <c r="D11" s="18" t="n">
        <v>46359</v>
      </c>
      <c r="E11" s="10" t="inlineStr">
        <is>
          <t>Aceite</t>
        </is>
      </c>
      <c r="F11" s="12" t="inlineStr"/>
      <c r="G11" s="12" t="inlineStr"/>
      <c r="H11" s="12" t="inlineStr"/>
      <c r="I11" s="12" t="inlineStr"/>
      <c r="J11" s="12" t="inlineStr"/>
      <c r="K11" s="14" t="inlineStr">
        <is>
          <t>●</t>
        </is>
      </c>
      <c r="L11" s="10" t="inlineStr">
        <is>
          <t>Release publicada e documentada</t>
        </is>
      </c>
    </row>
    <row r="12">
      <c r="A12" s="7" t="inlineStr">
        <is>
          <t>Total de esforço</t>
        </is>
      </c>
      <c r="B12" s="7">
        <f>SUM(B4:B11)</f>
        <v/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inlineStr">
        <is>
          <t>240 horas</t>
        </is>
      </c>
    </row>
  </sheetData>
  <autoFilter ref="A3:L1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2026-10-22T17:27:08Z</dcterms:created>
  <dcterms:modified xmlns:dcterms="http://purl.org/dc/terms/" xmlns:xsi="http://www.w3.org/2001/XMLSchema-instance" xsi:type="dcterms:W3CDTF">2026-10-22T17:28:29Z</dcterms:modified>
</cp:coreProperties>
</file>